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100" yWindow="-21000" windowWidth="38400" windowHeight="21000" tabRatio="600" firstSheet="0" activeTab="0" autoFilterDateGrouping="1"/>
  </bookViews>
  <sheets>
    <sheet name="Respuestas de formulario 1" sheetId="1" state="visible" r:id="rId1"/>
    <sheet name="Not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8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theme="0"/>
      <sz val="10"/>
      <scheme val="minor"/>
    </font>
    <font>
      <name val="Arial"/>
      <family val="2"/>
      <b val="1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/>
    </xf>
  </cellXfs>
  <cellStyles count="1">
    <cellStyle name="Normal" xfId="0" builtinId="0"/>
  </cellStyles>
  <dxfs count="9">
    <dxf>
      <font>
        <name val="Arial"/>
        <strike val="0"/>
        <outline val="0"/>
        <shadow val="0"/>
        <color theme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Respuestas de formulario 1-style" pivot="0" count="4">
      <tableStyleElement type="wholeTable" size="0" dxfId="8"/>
      <tableStyleElement type="headerRow" dxfId="7"/>
      <tableStyleElement type="firstRowStripe" dxfId="6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H1" authorId="0" shapeId="0">
      <text>
        <t>Promedio PONDERADO: D*0.35 + E*0.30 (Team act) + F*0.20 (1v1 max) + G*0.15 (Team max). Pesos editables en la hoja "Notas" (B3:B6). Ver hoja Notas para detalles y pendientes.</t>
      </text>
    </comment>
    <comment ref="D3" authorId="0" shapeId="0">
      <text>
        <t>Emparejado con "ACI jyarar" (confirmado). Existe otra cuenta "jyarar" sin tag con 1v1 1216 - NO es esta.</t>
      </text>
    </comment>
    <comment ref="D6" authorId="0" shapeId="0">
      <text>
        <t>ACI Artanisx NO tiene rating 1v1 en aoe2insights (nunca jugo ranked 1v1). El promedio se calcula solo con Team. Revisar si el torneo es 1v1.</t>
      </text>
    </comment>
  </commentList>
</comments>
</file>

<file path=xl/tables/table1.xml><?xml version="1.0" encoding="utf-8"?>
<table xmlns="http://schemas.openxmlformats.org/spreadsheetml/2006/main" id="1" name="Form_Responses" displayName="Form_Responses" ref="A1:M17" headerRowCount="1" headerRowDxfId="0">
  <autoFilter ref="A1:M14"/>
  <sortState ref="A2:M14">
    <sortCondition descending="1" ref="H1:H14"/>
  </sortState>
  <tableColumns count="13">
    <tableColumn id="1" name="Marca temporal"/>
    <tableColumn id="2" name="Dirección de correo electrónico"/>
    <tableColumn id="3" name="Nickname"/>
    <tableColumn id="4" name="Elo actual 1v1"/>
    <tableColumn id="12" name="Elo Actual RM team" dataDxfId="4"/>
    <tableColumn id="10" name="Elo max historico 1v1" dataDxfId="3"/>
    <tableColumn id="11" name="Elo Max historico RM Team" dataDxfId="2"/>
    <tableColumn id="13" name="Promedio" dataDxfId="1"/>
    <tableColumn id="5" name="Objetivo"/>
    <tableColumn id="6" name="Selecciona los horarios en los que tienes disponibilidad para jugar: [Viernes]"/>
    <tableColumn id="7" name="Selecciona los horarios en los que tienes disponibilidad para jugar: [Sábado]"/>
    <tableColumn id="8" name="Selecciona los horarios en los que tienes disponibilidad para jugar: [Domingo]"/>
    <tableColumn id="9" name="Selecciona los horarios en los que tienes disponibilidad para jugar: [Entre semana]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7"/>
  <sheetViews>
    <sheetView tabSelected="1" zoomScale="130" zoomScaleNormal="130" workbookViewId="0">
      <pane ySplit="1" topLeftCell="A2" activePane="bottomLeft" state="frozen"/>
      <selection pane="bottomLeft" activeCell="C12" sqref="C12"/>
    </sheetView>
  </sheetViews>
  <sheetFormatPr baseColWidth="10" defaultColWidth="12.6640625" defaultRowHeight="15.75" customHeight="1"/>
  <cols>
    <col width="18.83203125" customWidth="1" min="1" max="1"/>
    <col width="27.83203125" customWidth="1" min="2" max="2"/>
    <col collapsed="1" width="18.83203125" customWidth="1" min="3" max="3"/>
    <col hidden="1" outlineLevel="1" width="18.5" customWidth="1" min="4" max="4"/>
    <col hidden="1" outlineLevel="1" width="22.5" customWidth="1" min="5" max="5"/>
    <col hidden="1" outlineLevel="1" width="27.5" customWidth="1" min="6" max="6"/>
    <col hidden="1" outlineLevel="1" width="24.6640625" customWidth="1" min="7" max="7"/>
    <col width="22.83203125" customWidth="1" min="8" max="8"/>
    <col width="38.6640625" customWidth="1" min="9" max="9"/>
    <col width="37.6640625" customWidth="1" min="10" max="13"/>
    <col width="18.83203125" customWidth="1" min="14" max="19"/>
  </cols>
  <sheetData>
    <row r="1" ht="22.5" customFormat="1" customHeight="1" s="9">
      <c r="A1" s="8" t="inlineStr">
        <is>
          <t>Marca temporal</t>
        </is>
      </c>
      <c r="B1" s="8" t="inlineStr">
        <is>
          <t>Dirección de correo electrónico</t>
        </is>
      </c>
      <c r="C1" s="8" t="inlineStr">
        <is>
          <t>Nickname</t>
        </is>
      </c>
      <c r="D1" s="8" t="inlineStr">
        <is>
          <t>Elo actual 1v1</t>
        </is>
      </c>
      <c r="E1" s="8" t="inlineStr">
        <is>
          <t>Elo Actual RM team</t>
        </is>
      </c>
      <c r="F1" s="8" t="inlineStr">
        <is>
          <t>Elo max historico 1v1</t>
        </is>
      </c>
      <c r="G1" s="8" t="inlineStr">
        <is>
          <t>Elo Max historico RM Team</t>
        </is>
      </c>
      <c r="H1" s="8" t="inlineStr">
        <is>
          <t>Promedio</t>
        </is>
      </c>
      <c r="I1" s="8" t="inlineStr">
        <is>
          <t>Objetivo</t>
        </is>
      </c>
      <c r="J1" s="8" t="inlineStr">
        <is>
          <t>Selecciona los horarios en los que tienes disponibilidad para jugar: [Viernes]</t>
        </is>
      </c>
      <c r="K1" s="8" t="inlineStr">
        <is>
          <t>Selecciona los horarios en los que tienes disponibilidad para jugar: [Sábado]</t>
        </is>
      </c>
      <c r="L1" s="8" t="inlineStr">
        <is>
          <t>Selecciona los horarios en los que tienes disponibilidad para jugar: [Domingo]</t>
        </is>
      </c>
      <c r="M1" s="8" t="inlineStr">
        <is>
          <t>Selecciona los horarios en los que tienes disponibilidad para jugar: [Entre semana]</t>
        </is>
      </c>
    </row>
    <row r="2" ht="22.5" customHeight="1">
      <c r="A2" s="1" t="n">
        <v>46205.47926708333</v>
      </c>
      <c r="B2" s="2" t="inlineStr">
        <is>
          <t>jeffersmendez.jm@gmail.com</t>
        </is>
      </c>
      <c r="C2" s="2" t="inlineStr">
        <is>
          <t xml:space="preserve">El Rey Nocturno </t>
        </is>
      </c>
      <c r="D2" s="2" t="n">
        <v>1609</v>
      </c>
      <c r="E2" s="2" t="n">
        <v>1457</v>
      </c>
      <c r="F2" s="2" t="n">
        <v>1616</v>
      </c>
      <c r="G2" s="2" t="n">
        <v>1590</v>
      </c>
      <c r="H2" s="2">
        <f>ROUND(D2*Notas!$B$3+E2*Notas!$B$4+F2*Notas!$B$5+G2*Notas!$B$6,0)</f>
        <v/>
      </c>
      <c r="I2" s="2" t="inlineStr">
        <is>
          <t>Recordar como se juega al age</t>
        </is>
      </c>
      <c r="J2" s="2" t="n"/>
      <c r="K2" s="2" t="inlineStr">
        <is>
          <t>Noche (7pm-10pm)</t>
        </is>
      </c>
      <c r="L2" s="2" t="inlineStr">
        <is>
          <t>Noche (7pm-10pm)</t>
        </is>
      </c>
      <c r="M2" s="2" t="n"/>
    </row>
    <row r="3" ht="22.5" customHeight="1">
      <c r="A3" s="1" t="n">
        <v>46194.94453789352</v>
      </c>
      <c r="B3" s="2" t="inlineStr">
        <is>
          <t>jair.yara11@gmail.com</t>
        </is>
      </c>
      <c r="C3" s="2" t="inlineStr">
        <is>
          <t>Jyarar</t>
        </is>
      </c>
      <c r="D3" s="2" t="n">
        <v>1399</v>
      </c>
      <c r="E3" s="2" t="n">
        <v>1394</v>
      </c>
      <c r="F3" s="2" t="n">
        <v>1399</v>
      </c>
      <c r="G3" s="2" t="n">
        <v>1473</v>
      </c>
      <c r="H3" s="2">
        <f>ROUND(D3*Notas!$B$3+E3*Notas!$B$4+F3*Notas!$B$5+G3*Notas!$B$6,0)</f>
        <v/>
      </c>
      <c r="I3" s="2" t="inlineStr">
        <is>
          <t>Sacar a shan</t>
        </is>
      </c>
      <c r="J3" s="2" t="inlineStr">
        <is>
          <t>Noche (7pm-10pm)</t>
        </is>
      </c>
      <c r="K3" s="2" t="inlineStr">
        <is>
          <t>Tarde (2pm-6pm), Noche (7pm-10pm)</t>
        </is>
      </c>
      <c r="L3" s="2" t="inlineStr">
        <is>
          <t>Tarde (2pm-6pm), Noche (7pm-10pm)</t>
        </is>
      </c>
      <c r="M3" s="2" t="inlineStr">
        <is>
          <t>Noche (7pm-10pm)</t>
        </is>
      </c>
    </row>
    <row r="4" ht="22.5" customHeight="1">
      <c r="A4" s="1" t="n">
        <v>46205.44468862269</v>
      </c>
      <c r="B4" s="2" t="inlineStr">
        <is>
          <t>johansal1707@gmail.com</t>
        </is>
      </c>
      <c r="C4" s="2" t="inlineStr">
        <is>
          <t>Calvohp17</t>
        </is>
      </c>
      <c r="D4" s="2" t="n">
        <v>1305</v>
      </c>
      <c r="E4" s="2" t="n">
        <v>1411</v>
      </c>
      <c r="F4" s="2" t="n">
        <v>1511</v>
      </c>
      <c r="G4" s="2" t="n">
        <v>1479</v>
      </c>
      <c r="H4" s="2">
        <f>ROUND(D4*Notas!$B$3+E4*Notas!$B$4+F4*Notas!$B$5+G4*Notas!$B$6,0)</f>
        <v/>
      </c>
      <c r="I4" s="2" t="inlineStr">
        <is>
          <t>No caducar en la primera ronda</t>
        </is>
      </c>
      <c r="J4" s="2" t="inlineStr">
        <is>
          <t>Noche (7pm-10pm)</t>
        </is>
      </c>
      <c r="K4" s="2" t="inlineStr">
        <is>
          <t>Tarde (2pm-6pm), Noche (7pm-10pm)</t>
        </is>
      </c>
      <c r="L4" s="2" t="inlineStr">
        <is>
          <t>Tarde (2pm-6pm)</t>
        </is>
      </c>
      <c r="M4" s="2" t="inlineStr">
        <is>
          <t>Noche (7pm-10pm)</t>
        </is>
      </c>
    </row>
    <row r="5" ht="22.5" customHeight="1">
      <c r="A5" s="1" t="n">
        <v>46194.97088078703</v>
      </c>
      <c r="B5" s="2" t="inlineStr">
        <is>
          <t>angeleduardoromerovazquez@gmail.com</t>
        </is>
      </c>
      <c r="C5" s="2" t="inlineStr">
        <is>
          <t>ACI Granmini</t>
        </is>
      </c>
      <c r="D5" s="2" t="n">
        <v>1422</v>
      </c>
      <c r="E5" s="2" t="n">
        <v>1313</v>
      </c>
      <c r="F5" s="2" t="n">
        <v>1422</v>
      </c>
      <c r="G5" s="2" t="n">
        <v>1435</v>
      </c>
      <c r="H5" s="2">
        <f>ROUND(D5*Notas!$B$3+E5*Notas!$B$4+F5*Notas!$B$5+G5*Notas!$B$6,0)</f>
        <v/>
      </c>
      <c r="I5" s="2" t="inlineStr">
        <is>
          <t>Sólo uno... ganar...</t>
        </is>
      </c>
      <c r="J5" s="2" t="inlineStr">
        <is>
          <t>Mañana (9am-12pm), Noche (7pm-10pm)</t>
        </is>
      </c>
      <c r="K5" s="2" t="inlineStr">
        <is>
          <t>Tarde (2pm-6pm), Noche (7pm-10pm)</t>
        </is>
      </c>
      <c r="L5" s="2" t="inlineStr">
        <is>
          <t>Noche (7pm-10pm)</t>
        </is>
      </c>
      <c r="M5" s="2" t="inlineStr">
        <is>
          <t>Mañana (9am-12pm), Noche (7pm-10pm)</t>
        </is>
      </c>
    </row>
    <row r="6" ht="22.5" customHeight="1">
      <c r="A6" s="1" t="n">
        <v>46205.46275497685</v>
      </c>
      <c r="B6" s="2" t="inlineStr">
        <is>
          <t>artanisx.silver117@gmail.com</t>
        </is>
      </c>
      <c r="C6" s="2" t="inlineStr">
        <is>
          <t xml:space="preserve">ACI ARTANISX </t>
        </is>
      </c>
      <c r="D6" s="3" t="n"/>
      <c r="E6" s="2" t="n">
        <v>1302</v>
      </c>
      <c r="F6" s="3" t="n"/>
      <c r="G6" s="2" t="n">
        <v>1354</v>
      </c>
      <c r="H6" s="2">
        <f>ROUND((E6*Notas!$B$4+G6*Notas!$B$6)/(Notas!$B$4+Notas!$B$6),0)</f>
        <v/>
      </c>
      <c r="I6" s="2" t="inlineStr">
        <is>
          <t xml:space="preserve">Conseguir un autógrafo de Dross </t>
        </is>
      </c>
      <c r="J6" s="2" t="inlineStr">
        <is>
          <t>Noche (7pm-10pm)</t>
        </is>
      </c>
      <c r="K6" s="2" t="inlineStr">
        <is>
          <t>Noche (7pm-10pm)</t>
        </is>
      </c>
      <c r="L6" s="2" t="inlineStr">
        <is>
          <t>Noche (7pm-10pm)</t>
        </is>
      </c>
      <c r="M6" s="2" t="n"/>
    </row>
    <row r="7" ht="22.5" customHeight="1">
      <c r="A7" s="1" t="n">
        <v>46195.26068959491</v>
      </c>
      <c r="B7" s="2" t="inlineStr">
        <is>
          <t>nicogg3.unal@gmail.com</t>
        </is>
      </c>
      <c r="C7" s="2" t="inlineStr">
        <is>
          <t>Dross (Malandrin)</t>
        </is>
      </c>
      <c r="D7" s="2" t="n">
        <v>1253</v>
      </c>
      <c r="E7" s="2" t="n">
        <v>1323</v>
      </c>
      <c r="F7" s="2" t="n">
        <v>1289</v>
      </c>
      <c r="G7" s="2" t="n">
        <v>1327</v>
      </c>
      <c r="H7" s="2">
        <f>ROUND(D7*Notas!$B$3+E7*Notas!$B$4+F7*Notas!$B$5+G7*Notas!$B$6,0)</f>
        <v/>
      </c>
      <c r="I7" s="2" t="inlineStr">
        <is>
          <t>Darle por la cola al calvo</t>
        </is>
      </c>
      <c r="J7" s="2" t="inlineStr">
        <is>
          <t>Noche (7pm-10pm)</t>
        </is>
      </c>
      <c r="K7" s="2" t="n"/>
      <c r="L7" s="2" t="n"/>
      <c r="M7" s="2" t="inlineStr">
        <is>
          <t>Noche (7pm-10pm)</t>
        </is>
      </c>
    </row>
    <row r="8" ht="22.5" customHeight="1">
      <c r="A8" s="1" t="n">
        <v>46195.30587300926</v>
      </c>
      <c r="B8" s="2" t="inlineStr">
        <is>
          <t>shanyurui@gmail.com</t>
        </is>
      </c>
      <c r="C8" s="10" t="inlineStr">
        <is>
          <t>SHAN</t>
        </is>
      </c>
      <c r="D8" s="2" t="n">
        <v>1208</v>
      </c>
      <c r="E8" s="2" t="n">
        <v>1331</v>
      </c>
      <c r="F8" s="2" t="n">
        <v>1208</v>
      </c>
      <c r="G8" s="2" t="n">
        <v>1482</v>
      </c>
      <c r="H8" s="2">
        <f>ROUND(D8*Notas!$B$3+E8*Notas!$B$4+F8*Notas!$B$5+G8*Notas!$B$6,0)</f>
        <v/>
      </c>
      <c r="I8" s="2" t="inlineStr">
        <is>
          <t>Robarle cerdos al calvo</t>
        </is>
      </c>
      <c r="J8" s="2" t="inlineStr">
        <is>
          <t>Noche (7pm-10pm)</t>
        </is>
      </c>
      <c r="K8" s="2" t="inlineStr">
        <is>
          <t>Noche (7pm-10pm)</t>
        </is>
      </c>
      <c r="L8" s="2" t="inlineStr">
        <is>
          <t>Noche (7pm-10pm)</t>
        </is>
      </c>
      <c r="M8" s="2" t="inlineStr">
        <is>
          <t>Noche (7pm-10pm)</t>
        </is>
      </c>
    </row>
    <row r="9" ht="22.5" customHeight="1">
      <c r="A9" s="1" t="n">
        <v>46197.55996239583</v>
      </c>
      <c r="B9" s="2" t="inlineStr">
        <is>
          <t>marito9911@gmail.com</t>
        </is>
      </c>
      <c r="C9" s="2" t="inlineStr">
        <is>
          <t xml:space="preserve">GreenMario </t>
        </is>
      </c>
      <c r="D9" s="2" t="n">
        <v>1132</v>
      </c>
      <c r="E9" s="2" t="n">
        <v>1242</v>
      </c>
      <c r="F9" s="2" t="n">
        <v>1385</v>
      </c>
      <c r="G9" s="2" t="n">
        <v>1242</v>
      </c>
      <c r="H9" s="2">
        <f>ROUND(D9*Notas!$B$3+E9*Notas!$B$4+F9*Notas!$B$5+G9*Notas!$B$6,0)</f>
        <v/>
      </c>
      <c r="I9" s="2" t="inlineStr">
        <is>
          <t xml:space="preserve">Aprender </t>
        </is>
      </c>
      <c r="J9" s="2" t="inlineStr">
        <is>
          <t>Noche (7pm-10pm)</t>
        </is>
      </c>
      <c r="K9" s="2" t="inlineStr">
        <is>
          <t>Noche (7pm-10pm)</t>
        </is>
      </c>
      <c r="L9" s="2" t="inlineStr">
        <is>
          <t>Noche (7pm-10pm)</t>
        </is>
      </c>
      <c r="M9" s="2" t="inlineStr">
        <is>
          <t>Noche (7pm-10pm)</t>
        </is>
      </c>
    </row>
    <row r="10" ht="22.5" customHeight="1">
      <c r="A10" s="1" t="n">
        <v>46195.74258899305</v>
      </c>
      <c r="B10" s="2" t="inlineStr">
        <is>
          <t>tyuered@gmail.com</t>
        </is>
      </c>
      <c r="C10" s="2" t="inlineStr">
        <is>
          <t>Tyuered</t>
        </is>
      </c>
      <c r="D10" s="2" t="n">
        <v>1181</v>
      </c>
      <c r="E10" s="2" t="n">
        <v>1190</v>
      </c>
      <c r="F10" s="2" t="n">
        <v>1181</v>
      </c>
      <c r="G10" s="2" t="n">
        <v>1427</v>
      </c>
      <c r="H10" s="2">
        <f>ROUND(D10*Notas!$B$3+E10*Notas!$B$4+F10*Notas!$B$5+G10*Notas!$B$6,0)</f>
        <v/>
      </c>
      <c r="I10" s="2" t="inlineStr">
        <is>
          <t>Entrar al torneo</t>
        </is>
      </c>
      <c r="J10" s="2" t="inlineStr">
        <is>
          <t>Mañana (9am-12pm), Noche (7pm-10pm)</t>
        </is>
      </c>
      <c r="K10" s="2" t="inlineStr">
        <is>
          <t>Noche (7pm-10pm)</t>
        </is>
      </c>
      <c r="L10" s="2" t="inlineStr">
        <is>
          <t>Noche (7pm-10pm)</t>
        </is>
      </c>
      <c r="M10" s="2" t="inlineStr">
        <is>
          <t>Mañana (9am-12pm)</t>
        </is>
      </c>
    </row>
    <row r="11" ht="22.5" customHeight="1">
      <c r="A11" s="1" t="n">
        <v>46205.33356857639</v>
      </c>
      <c r="B11" s="2" t="inlineStr">
        <is>
          <t>josemanuelmojica97@gmail.com</t>
        </is>
      </c>
      <c r="C11" s="2" t="inlineStr">
        <is>
          <t>ACI Kira_game</t>
        </is>
      </c>
      <c r="D11" s="2" t="n">
        <v>1102</v>
      </c>
      <c r="E11" s="2" t="n">
        <v>1237</v>
      </c>
      <c r="F11" s="2" t="n">
        <v>1102</v>
      </c>
      <c r="G11" s="2" t="n">
        <v>1442</v>
      </c>
      <c r="H11" s="2">
        <f>ROUND(D11*Notas!$B$3+E11*Notas!$B$4+F11*Notas!$B$5+G11*Notas!$B$6,0)</f>
        <v/>
      </c>
      <c r="I11" s="2" t="inlineStr">
        <is>
          <t>Cogerme al calvo</t>
        </is>
      </c>
      <c r="J11" s="2" t="inlineStr">
        <is>
          <t>Noche (7pm-10pm)</t>
        </is>
      </c>
      <c r="K11" s="2" t="inlineStr">
        <is>
          <t>Mañana (9am-12pm), Tarde (2pm-6pm), Noche (7pm-10pm)</t>
        </is>
      </c>
      <c r="L11" s="2" t="inlineStr">
        <is>
          <t>Mañana (9am-12pm), Tarde (2pm-6pm)</t>
        </is>
      </c>
      <c r="M11" s="2" t="n"/>
    </row>
    <row r="12" ht="22.5" customHeight="1">
      <c r="A12" s="1" t="n">
        <v>46205.46888817129</v>
      </c>
      <c r="B12" s="2" t="inlineStr">
        <is>
          <t>jmangelc93@gmail.com</t>
        </is>
      </c>
      <c r="C12" s="2" t="inlineStr">
        <is>
          <t>ACI Tuffix</t>
        </is>
      </c>
      <c r="D12" s="2" t="n">
        <v>1040</v>
      </c>
      <c r="E12" s="2" t="n">
        <v>1224</v>
      </c>
      <c r="F12" s="2" t="n">
        <v>1083</v>
      </c>
      <c r="G12" s="2" t="n">
        <v>1253</v>
      </c>
      <c r="H12" s="2">
        <f>ROUND(D12*Notas!$B$3+E12*Notas!$B$4+F12*Notas!$B$5+G12*Notas!$B$6,0)</f>
        <v/>
      </c>
      <c r="I12" s="2" t="inlineStr">
        <is>
          <t>Perder</t>
        </is>
      </c>
      <c r="J12" s="2" t="inlineStr">
        <is>
          <t>Noche (7pm-10pm)</t>
        </is>
      </c>
      <c r="K12" s="2" t="inlineStr">
        <is>
          <t>Noche (7pm-10pm)</t>
        </is>
      </c>
      <c r="L12" s="2" t="inlineStr">
        <is>
          <t>Noche (7pm-10pm)</t>
        </is>
      </c>
      <c r="M12" s="2" t="inlineStr">
        <is>
          <t>Noche (7pm-10pm)</t>
        </is>
      </c>
    </row>
    <row r="13" ht="22.5" customHeight="1">
      <c r="A13" s="1" t="n">
        <v>46205.44042111111</v>
      </c>
      <c r="B13" s="2" t="inlineStr">
        <is>
          <t>lfortizc@unal.edu.co</t>
        </is>
      </c>
      <c r="C13" s="2" t="inlineStr">
        <is>
          <t>Ummagumma</t>
        </is>
      </c>
      <c r="D13" s="2" t="n">
        <v>975</v>
      </c>
      <c r="E13" s="2" t="n">
        <v>1203</v>
      </c>
      <c r="F13" s="2" t="n">
        <v>1125</v>
      </c>
      <c r="G13" s="2" t="n">
        <v>1324</v>
      </c>
      <c r="H13" s="2">
        <f>ROUND(D13*Notas!$B$3+E13*Notas!$B$4+F13*Notas!$B$5+G13*Notas!$B$6,0)</f>
        <v/>
      </c>
      <c r="I13" s="2" t="inlineStr">
        <is>
          <t xml:space="preserve">Que la viejita se lo pase bien </t>
        </is>
      </c>
      <c r="J13" s="2" t="inlineStr">
        <is>
          <t>Noche (7pm-10pm)</t>
        </is>
      </c>
      <c r="K13" s="2" t="inlineStr">
        <is>
          <t>Noche (7pm-10pm)</t>
        </is>
      </c>
      <c r="L13" s="2" t="inlineStr">
        <is>
          <t>Noche (7pm-10pm)</t>
        </is>
      </c>
      <c r="M13" s="2" t="inlineStr">
        <is>
          <t>Noche (7pm-10pm)</t>
        </is>
      </c>
    </row>
    <row r="14" ht="22.5" customHeight="1">
      <c r="A14" s="1" t="n">
        <v>46194.84159350694</v>
      </c>
      <c r="B14" s="2" t="inlineStr">
        <is>
          <t>mauro.gongorar7@gmail.com</t>
        </is>
      </c>
      <c r="C14" s="2" t="inlineStr">
        <is>
          <t>Fok Israhell</t>
        </is>
      </c>
      <c r="D14" s="2" t="n">
        <v>980</v>
      </c>
      <c r="E14" s="2" t="n">
        <v>1176</v>
      </c>
      <c r="F14" s="2" t="n">
        <v>1008</v>
      </c>
      <c r="G14" s="2" t="n">
        <v>1255</v>
      </c>
      <c r="H14" s="2">
        <f>ROUND(D14*Notas!$B$3+E14*Notas!$B$4+F14*Notas!$B$5+G14*Notas!$B$6,0)</f>
        <v/>
      </c>
      <c r="I14" s="2" t="inlineStr">
        <is>
          <t>Partirle la madre al umma</t>
        </is>
      </c>
      <c r="J14" s="2" t="inlineStr">
        <is>
          <t>Noche (7pm-10pm)</t>
        </is>
      </c>
      <c r="K14" s="2" t="n"/>
      <c r="L14" s="2" t="inlineStr">
        <is>
          <t>Tarde (2pm-6pm), Noche (7pm-10pm)</t>
        </is>
      </c>
      <c r="M14" s="2" t="inlineStr">
        <is>
          <t>Noche (7pm-10pm)</t>
        </is>
      </c>
    </row>
    <row r="15">
      <c r="C15" t="inlineStr">
        <is>
          <t>dadagama</t>
        </is>
      </c>
      <c r="D15" t="n">
        <v>1261</v>
      </c>
      <c r="E15" t="n">
        <v>1361</v>
      </c>
      <c r="F15" t="n">
        <v>1261</v>
      </c>
      <c r="G15" t="n">
        <v>1487</v>
      </c>
      <c r="H15">
        <f>ROUND(D15*Notas!$B$3+E15*Notas!$B$4+F15*Notas!$B$5+G15*Notas!$B$6,0)</f>
        <v/>
      </c>
      <c r="I15" t="inlineStr">
        <is>
          <t>(agregado manual 2026-07-03)</t>
        </is>
      </c>
    </row>
    <row r="16">
      <c r="C16" t="inlineStr">
        <is>
          <t>El wicho</t>
        </is>
      </c>
      <c r="D16" t="n">
        <v>1227</v>
      </c>
      <c r="E16" t="n">
        <v>1334</v>
      </c>
      <c r="F16" t="n">
        <v>1227</v>
      </c>
      <c r="G16" t="n">
        <v>1536</v>
      </c>
      <c r="H16">
        <f>ROUND(D16*Notas!$B$3+E16*Notas!$B$4+F16*Notas!$B$5+G16*Notas!$B$6,0)</f>
        <v/>
      </c>
      <c r="I16" t="inlineStr">
        <is>
          <t>(agregado manual 2026-07-03)</t>
        </is>
      </c>
    </row>
    <row r="17">
      <c r="C17" t="inlineStr">
        <is>
          <t>Codiman</t>
        </is>
      </c>
      <c r="D17" t="n">
        <v>1243</v>
      </c>
      <c r="E17" t="n">
        <v>1256</v>
      </c>
      <c r="F17" t="n">
        <v>1275</v>
      </c>
      <c r="G17" t="n">
        <v>1484</v>
      </c>
      <c r="H17">
        <f>ROUND(D17*Notas!$B$3+E17*Notas!$B$4+F17*Notas!$B$5+G17*Notas!$B$6,0)</f>
        <v/>
      </c>
      <c r="I17" t="inlineStr">
        <is>
          <t>(agregado manual 2026-07-03)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E32" sqref="E32"/>
    </sheetView>
  </sheetViews>
  <sheetFormatPr baseColWidth="10" defaultColWidth="8.83203125" defaultRowHeight="13"/>
  <cols>
    <col width="40" customWidth="1" min="1" max="1"/>
    <col width="22" customWidth="1" min="2" max="3"/>
    <col width="16" customWidth="1" min="4" max="4"/>
    <col width="46" customWidth="1" min="5" max="5"/>
    <col width="52" customWidth="1" min="6" max="6"/>
  </cols>
  <sheetData>
    <row r="1">
      <c r="A1" s="4" t="inlineStr">
        <is>
          <t>PESOS DEL PROMEDIO PONDERADO (editables — cambia el valor y se recalcula todo)</t>
        </is>
      </c>
    </row>
    <row r="2">
      <c r="A2" s="5" t="inlineStr">
        <is>
          <t>Categoría</t>
        </is>
      </c>
      <c r="B2" s="5" t="inlineStr">
        <is>
          <t>Peso</t>
        </is>
      </c>
      <c r="C2" s="5" t="inlineStr">
        <is>
          <t>Columna</t>
        </is>
      </c>
    </row>
    <row r="3">
      <c r="A3" t="inlineStr">
        <is>
          <t>Peso 1v1 actual</t>
        </is>
      </c>
      <c r="B3" s="6" t="n">
        <v>0.35</v>
      </c>
      <c r="C3" t="inlineStr">
        <is>
          <t>Col D</t>
        </is>
      </c>
    </row>
    <row r="4">
      <c r="A4" t="inlineStr">
        <is>
          <t>Peso Team actual</t>
        </is>
      </c>
      <c r="B4" s="6" t="n">
        <v>0.3</v>
      </c>
      <c r="C4" t="inlineStr">
        <is>
          <t>Col E</t>
        </is>
      </c>
    </row>
    <row r="5">
      <c r="A5" t="inlineStr">
        <is>
          <t>Peso 1v1 max</t>
        </is>
      </c>
      <c r="B5" s="6" t="n">
        <v>0.2</v>
      </c>
      <c r="C5" t="inlineStr">
        <is>
          <t>Col F</t>
        </is>
      </c>
    </row>
    <row r="6">
      <c r="A6" t="inlineStr">
        <is>
          <t>Peso Team max</t>
        </is>
      </c>
      <c r="B6" s="6" t="n">
        <v>0.15</v>
      </c>
      <c r="C6" t="inlineStr">
        <is>
          <t>Col G</t>
        </is>
      </c>
    </row>
    <row r="7">
      <c r="A7" s="4" t="inlineStr">
        <is>
          <t>Suma pesos</t>
        </is>
      </c>
      <c r="B7" s="6">
        <f>SUM(B3:B6)</f>
        <v/>
      </c>
      <c r="C7" t="inlineStr">
        <is>
          <t>(debe sumar 1.00)</t>
        </is>
      </c>
    </row>
    <row r="10">
      <c r="A10" s="4" t="inlineStr">
        <is>
          <t>REGISTRO DE DATOS — Torneo ACI</t>
        </is>
      </c>
    </row>
    <row r="11">
      <c r="A11" s="7" t="inlineStr">
        <is>
          <t>Fuente</t>
        </is>
      </c>
      <c r="B11" t="inlineStr">
        <is>
          <t>aoe2insights.com (scrapeado con Playwright, navegador real; el sitio bloquea fetch directo con 403)</t>
        </is>
      </c>
    </row>
    <row r="12">
      <c r="A12" s="7" t="inlineStr">
        <is>
          <t>Fecha de extracción</t>
        </is>
      </c>
      <c r="B12" t="inlineStr">
        <is>
          <t>2026-07-02</t>
        </is>
      </c>
    </row>
    <row r="13">
      <c r="A13" s="7" t="inlineStr">
        <is>
          <t>Rating usado</t>
        </is>
      </c>
      <c r="B13" t="inlineStr">
        <is>
          <t>RM = Random Map. D/F = 1v1, E/G = Team. "max" = All Time High (peak) del perfil.</t>
        </is>
      </c>
    </row>
    <row r="14">
      <c r="A14" s="7" t="inlineStr">
        <is>
          <t>Promedio (H)</t>
        </is>
      </c>
      <c r="B14" t="inlineStr">
        <is>
          <t>Ponderado: D*0.35 + E*0.30 + F*0.20 + G*0.15 (pesos en B3:B6, editables).</t>
        </is>
      </c>
    </row>
    <row r="15">
      <c r="A15" s="4" t="inlineStr">
        <is>
          <t>ARTANISX (H)</t>
        </is>
      </c>
      <c r="B15" t="inlineStr">
        <is>
          <t>Sin datos de 1v1 -&gt; se promedia SOLO equipo (E,G) renormalizado. No 100% comparable.</t>
        </is>
      </c>
    </row>
    <row r="16">
      <c r="A16" s="7" t="n"/>
    </row>
    <row r="17">
      <c r="A17" s="4" t="inlineStr">
        <is>
          <t>CUENTAS EMPAREJADAS (nick del formulario -&gt; cuenta en aoe2insights)</t>
        </is>
      </c>
    </row>
    <row r="18">
      <c r="A18" s="5" t="inlineStr">
        <is>
          <t>Fila</t>
        </is>
      </c>
      <c r="B18" s="5" t="inlineStr">
        <is>
          <t>Nick (formulario)</t>
        </is>
      </c>
      <c r="C18" s="5" t="inlineStr">
        <is>
          <t>Cuenta aoe2insights</t>
        </is>
      </c>
      <c r="D18" s="5" t="inlineStr">
        <is>
          <t>País</t>
        </is>
      </c>
      <c r="E18" s="5" t="inlineStr">
        <is>
          <t>URL perfil</t>
        </is>
      </c>
      <c r="F18" s="5" t="inlineStr">
        <is>
          <t>Confianza</t>
        </is>
      </c>
    </row>
    <row r="19">
      <c r="A19" t="n">
        <v>2</v>
      </c>
      <c r="B19" t="inlineStr">
        <is>
          <t>Fok Israhell</t>
        </is>
      </c>
      <c r="C19" t="inlineStr">
        <is>
          <t>ACI F0K 1sr4h3ll</t>
        </is>
      </c>
      <c r="D19" t="inlineStr">
        <is>
          <t>Colombia</t>
        </is>
      </c>
      <c r="E19" t="inlineStr">
        <is>
          <t>https://www.aoe2insights.com/user/11738813/</t>
        </is>
      </c>
      <c r="F19" t="inlineStr">
        <is>
          <t>Confirmado por ti (aka mauro.gongorar7 = email)</t>
        </is>
      </c>
    </row>
    <row r="20">
      <c r="A20" t="n">
        <v>3</v>
      </c>
      <c r="B20" t="inlineStr">
        <is>
          <t>Jyarar</t>
        </is>
      </c>
      <c r="C20" t="inlineStr">
        <is>
          <t>ACI jyarar</t>
        </is>
      </c>
      <c r="D20" t="inlineStr">
        <is>
          <t>Colombia</t>
        </is>
      </c>
      <c r="E20" t="inlineStr">
        <is>
          <t>https://www.aoe2insights.com/user/12347241/</t>
        </is>
      </c>
      <c r="F20" t="inlineStr">
        <is>
          <t>Confirmado por ti (vs cuenta "jyarar" sin tag)</t>
        </is>
      </c>
    </row>
    <row r="21">
      <c r="A21" t="n">
        <v>4</v>
      </c>
      <c r="B21" t="inlineStr">
        <is>
          <t>ACI Granmini</t>
        </is>
      </c>
      <c r="C21" t="inlineStr">
        <is>
          <t>ACI Granmini</t>
        </is>
      </c>
      <c r="D21" t="inlineStr">
        <is>
          <t>Mexico</t>
        </is>
      </c>
      <c r="E21" t="inlineStr">
        <is>
          <t>https://www.aoe2insights.com/user/8556596/</t>
        </is>
      </c>
      <c r="F21" t="inlineStr">
        <is>
          <t>Alta (tag ACI + nombre exacto)</t>
        </is>
      </c>
    </row>
    <row r="22">
      <c r="A22" t="n">
        <v>5</v>
      </c>
      <c r="B22" t="inlineStr">
        <is>
          <t>Dross (Malandrin)</t>
        </is>
      </c>
      <c r="C22" t="inlineStr">
        <is>
          <t>ACI Dross</t>
        </is>
      </c>
      <c r="D22" t="inlineStr">
        <is>
          <t>Colombia</t>
        </is>
      </c>
      <c r="E22" t="inlineStr">
        <is>
          <t>https://www.aoe2insights.com/user/3539720/</t>
        </is>
      </c>
      <c r="F22" t="inlineStr">
        <is>
          <t>Alta (tag ACI; unico ACI Dross)</t>
        </is>
      </c>
    </row>
    <row r="23">
      <c r="A23" t="n">
        <v>6</v>
      </c>
      <c r="B23" t="inlineStr">
        <is>
          <t>SHAN</t>
        </is>
      </c>
      <c r="C23" t="inlineStr">
        <is>
          <t>ACI ShaN</t>
        </is>
      </c>
      <c r="D23" t="inlineStr">
        <is>
          <t>Colombia</t>
        </is>
      </c>
      <c r="E23" t="inlineStr">
        <is>
          <t>https://www.aoe2insights.com/user/10718844/</t>
        </is>
      </c>
      <c r="F23" t="inlineStr">
        <is>
          <t>Alta (tag ACI)</t>
        </is>
      </c>
    </row>
    <row r="24">
      <c r="A24" t="n">
        <v>7</v>
      </c>
      <c r="B24" t="inlineStr">
        <is>
          <t>Tyuered</t>
        </is>
      </c>
      <c r="C24" t="inlineStr">
        <is>
          <t>ACI Tyuered</t>
        </is>
      </c>
      <c r="D24" t="inlineStr">
        <is>
          <t>Mexico</t>
        </is>
      </c>
      <c r="E24" t="inlineStr">
        <is>
          <t>https://www.aoe2insights.com/user/283078/</t>
        </is>
      </c>
      <c r="F24" t="inlineStr">
        <is>
          <t>Alta (tag ACI + nombre)</t>
        </is>
      </c>
    </row>
    <row r="25">
      <c r="A25" t="n">
        <v>8</v>
      </c>
      <c r="B25" t="inlineStr">
        <is>
          <t>TYUERED</t>
        </is>
      </c>
      <c r="C25" t="inlineStr">
        <is>
          <t>ACI Tyuered</t>
        </is>
      </c>
      <c r="D25" t="inlineStr">
        <is>
          <t>Mexico</t>
        </is>
      </c>
      <c r="E25" t="inlineStr">
        <is>
          <t>https://www.aoe2insights.com/user/283078/</t>
        </is>
      </c>
      <c r="F25" t="inlineStr">
        <is>
          <t>DUPLICADO de fila 7 (mismo email tyuered@gmail.com)</t>
        </is>
      </c>
    </row>
    <row r="26">
      <c r="A26" t="n">
        <v>9</v>
      </c>
      <c r="B26" t="inlineStr">
        <is>
          <t>GreenMario</t>
        </is>
      </c>
      <c r="C26" t="inlineStr">
        <is>
          <t>GreenMario7761</t>
        </is>
      </c>
      <c r="D26" t="inlineStr">
        <is>
          <t>United States</t>
        </is>
      </c>
      <c r="E26" t="inlineStr">
        <is>
          <t>https://www.aoe2insights.com/user/736955/</t>
        </is>
      </c>
      <c r="F26" t="inlineStr">
        <is>
          <t>Confirmado por ti (el de USA)</t>
        </is>
      </c>
    </row>
    <row r="27">
      <c r="A27" t="n">
        <v>10</v>
      </c>
      <c r="B27" t="inlineStr">
        <is>
          <t>ACI Kira_game</t>
        </is>
      </c>
      <c r="C27" t="inlineStr">
        <is>
          <t>ACI Kira_game</t>
        </is>
      </c>
      <c r="D27" t="inlineStr">
        <is>
          <t>United States</t>
        </is>
      </c>
      <c r="E27" t="inlineStr">
        <is>
          <t>https://www.aoe2insights.com/user/12844994/</t>
        </is>
      </c>
      <c r="F27" t="inlineStr">
        <is>
          <t>Alta (nombre exacto)</t>
        </is>
      </c>
    </row>
    <row r="28">
      <c r="A28" t="n">
        <v>11</v>
      </c>
      <c r="B28" t="inlineStr">
        <is>
          <t>Ummagumma</t>
        </is>
      </c>
      <c r="C28" t="inlineStr">
        <is>
          <t>Ummagumma</t>
        </is>
      </c>
      <c r="D28" t="inlineStr">
        <is>
          <t>Colombia</t>
        </is>
      </c>
      <c r="E28" t="inlineStr">
        <is>
          <t>https://www.aoe2insights.com/user/3169581/</t>
        </is>
      </c>
      <c r="F28" t="inlineStr">
        <is>
          <t>Alta (nombre exacto + Colombia)</t>
        </is>
      </c>
    </row>
    <row r="29">
      <c r="A29" t="n">
        <v>12</v>
      </c>
      <c r="B29" t="inlineStr">
        <is>
          <t>Calvohp17</t>
        </is>
      </c>
      <c r="C29" t="inlineStr">
        <is>
          <t>ACI Calvohp</t>
        </is>
      </c>
      <c r="D29" t="inlineStr">
        <is>
          <t>Colombia</t>
        </is>
      </c>
      <c r="E29" t="inlineStr">
        <is>
          <t>https://www.aoe2insights.com/user/2186527/</t>
        </is>
      </c>
      <c r="F29" t="inlineStr">
        <is>
          <t>Alta (tag ACI + Calvohp)</t>
        </is>
      </c>
    </row>
    <row r="30">
      <c r="A30" t="n">
        <v>13</v>
      </c>
      <c r="B30" t="inlineStr">
        <is>
          <t>ACI ARTANISX</t>
        </is>
      </c>
      <c r="C30" t="inlineStr">
        <is>
          <t>ACI Artanisx</t>
        </is>
      </c>
      <c r="D30" t="inlineStr">
        <is>
          <t>Mexico</t>
        </is>
      </c>
      <c r="E30" t="inlineStr">
        <is>
          <t>https://www.aoe2insights.com/user/12727653/</t>
        </is>
      </c>
      <c r="F30" t="inlineStr">
        <is>
          <t>Media — SIN rating 1v1, solo Team</t>
        </is>
      </c>
    </row>
    <row r="31">
      <c r="A31" t="n">
        <v>14</v>
      </c>
      <c r="B31" t="inlineStr">
        <is>
          <t>ACI Tuffix</t>
        </is>
      </c>
      <c r="C31" t="inlineStr">
        <is>
          <t>ACI Tuffix</t>
        </is>
      </c>
      <c r="D31" t="inlineStr">
        <is>
          <t>Colombia</t>
        </is>
      </c>
      <c r="E31" t="inlineStr">
        <is>
          <t>https://www.aoe2insights.com/user/13147882/</t>
        </is>
      </c>
      <c r="F31" t="inlineStr">
        <is>
          <t>Alta (tag ACI + nombre)</t>
        </is>
      </c>
    </row>
    <row r="32">
      <c r="A32" t="n">
        <v>15</v>
      </c>
      <c r="B32" t="inlineStr">
        <is>
          <t>El Rey Nocturno</t>
        </is>
      </c>
      <c r="C32" t="inlineStr">
        <is>
          <t>El Rey Nocturno</t>
        </is>
      </c>
      <c r="D32" t="inlineStr">
        <is>
          <t>Colombia</t>
        </is>
      </c>
      <c r="E32" t="inlineStr">
        <is>
          <t>https://www.aoe2insights.com/user/9854163/</t>
        </is>
      </c>
      <c r="F32" t="inlineStr">
        <is>
          <t>Alta (nombre exacto + Colombia)</t>
        </is>
      </c>
    </row>
    <row r="35">
      <c r="A35" s="4" t="inlineStr">
        <is>
          <t>PENDIENTES / PARA REVISAR EN EL FUTURO</t>
        </is>
      </c>
    </row>
    <row r="36">
      <c r="A36" t="inlineStr">
        <is>
          <t>1. Filas 7 y 8 son el MISMO jugador (Tyuered, envio duplicado). Borrar una fila antes de sembrar.</t>
        </is>
      </c>
    </row>
    <row r="37">
      <c r="A37" t="inlineStr">
        <is>
          <t>2. ACI ARTANISX no tiene 1v1: si el torneo es 1v1, pedirle partidas de colocacion o ajustar su siembra a mano.</t>
        </is>
      </c>
    </row>
    <row r="38">
      <c r="A38" t="inlineStr">
        <is>
          <t>3. Ratings 1v1 "provisionales" (actual = max, nunca perdieron punto -&gt; pocas partidas): Jyarar, Granmini, ShaN, Kira. Su Team (miles de juegos) es mas fiable. Si quieres, sube el peso de Team (B4/B6).</t>
        </is>
      </c>
    </row>
    <row r="39">
      <c r="A39" t="inlineStr">
        <is>
          <t>4. Ratings cambian con el tiempo: re-ejecutar el scraping antes del torneo para refrescar D:G.</t>
        </is>
      </c>
    </row>
    <row r="40">
      <c r="A40" t="inlineStr">
        <is>
          <t>5. Para cambiar el criterio de siembra: edita los pesos en B3:B6 (deben sumar 1.00, ver B7).</t>
        </is>
      </c>
    </row>
    <row r="42">
      <c r="A42" t="inlineStr">
        <is>
          <t>NUEVOS INSCRITOS (agregados 2026-07-03, sin formulario)</t>
        </is>
      </c>
    </row>
    <row r="43">
      <c r="A43" t="inlineStr">
        <is>
          <t>Fila</t>
        </is>
      </c>
      <c r="B43" t="inlineStr">
        <is>
          <t>Nick</t>
        </is>
      </c>
      <c r="C43" t="inlineStr">
        <is>
          <t>Cuenta aoe2insights</t>
        </is>
      </c>
      <c r="D43" t="inlineStr">
        <is>
          <t>Pais</t>
        </is>
      </c>
      <c r="E43" t="inlineStr">
        <is>
          <t>URL perfil</t>
        </is>
      </c>
      <c r="F43" t="inlineStr">
        <is>
          <t>Confianza</t>
        </is>
      </c>
    </row>
    <row r="44">
      <c r="A44" t="n">
        <v>15</v>
      </c>
      <c r="B44" t="inlineStr">
        <is>
          <t>dadagama</t>
        </is>
      </c>
      <c r="C44" t="inlineStr">
        <is>
          <t>Dadagama</t>
        </is>
      </c>
      <c r="D44" t="inlineStr">
        <is>
          <t>Colombia</t>
        </is>
      </c>
      <c r="E44" t="inlineStr">
        <is>
          <t>https://www.aoe2insights.com/user/11526726/</t>
        </is>
      </c>
      <c r="F44" t="inlineStr">
        <is>
          <t>Alta (nombre exacto + Colombia)</t>
        </is>
      </c>
    </row>
    <row r="45">
      <c r="A45" t="n">
        <v>16</v>
      </c>
      <c r="B45" t="inlineStr">
        <is>
          <t>El wicho</t>
        </is>
      </c>
      <c r="C45" t="inlineStr">
        <is>
          <t>El Wicho</t>
        </is>
      </c>
      <c r="D45" t="inlineStr">
        <is>
          <t>Mexico</t>
        </is>
      </c>
      <c r="E45" t="inlineStr">
        <is>
          <t>https://www.aoe2insights.com/user/11724720/</t>
        </is>
      </c>
      <c r="F45" t="inlineStr">
        <is>
          <t>Alta (nombre exacto 'El Wicho' + LatAm)</t>
        </is>
      </c>
    </row>
    <row r="46">
      <c r="A46" t="n">
        <v>17</v>
      </c>
      <c r="B46" t="inlineStr">
        <is>
          <t>Codiman</t>
        </is>
      </c>
      <c r="C46" t="inlineStr">
        <is>
          <t>Codiman</t>
        </is>
      </c>
      <c r="D46" t="inlineStr">
        <is>
          <t>Bolivia</t>
        </is>
      </c>
      <c r="E46" t="inlineStr">
        <is>
          <t>https://www.aoe2insights.com/user/12018416/</t>
        </is>
      </c>
      <c r="F46" t="inlineStr">
        <is>
          <t>Alta (nombre exacto + LatAm)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2026-07-03T02:31:52Z</dcterms:created>
  <dcterms:modified xsi:type="dcterms:W3CDTF">2026-07-03T22:59:27Z</dcterms:modified>
  <cp:lastModifiedBy>EDINSON JAIR YARA RUEDA</cp:lastModifiedBy>
</cp:coreProperties>
</file>