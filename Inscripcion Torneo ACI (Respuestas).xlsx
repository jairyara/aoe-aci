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jyarar/projects/aoe/"/>
    </mc:Choice>
  </mc:AlternateContent>
  <xr:revisionPtr revIDLastSave="0" documentId="13_ncr:1_{5298D48B-EFBC-9F4E-A614-88CE79AD73CD}" xr6:coauthVersionLast="47" xr6:coauthVersionMax="47" xr10:uidLastSave="{00000000-0000-0000-0000-000000000000}"/>
  <bookViews>
    <workbookView xWindow="34100" yWindow="-21000" windowWidth="38400" windowHeight="21000" xr2:uid="{00000000-000D-0000-FFFF-FFFF00000000}"/>
  </bookViews>
  <sheets>
    <sheet name="Respuestas de formulario 1" sheetId="1" r:id="rId1"/>
    <sheet name="Not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2" l="1"/>
  <c r="H2" i="1"/>
  <c r="H12" i="1"/>
  <c r="H6" i="1"/>
  <c r="H4" i="1"/>
  <c r="H13" i="1"/>
  <c r="H11" i="1"/>
  <c r="H9" i="1"/>
  <c r="H10" i="1"/>
  <c r="H8" i="1"/>
  <c r="H7" i="1"/>
  <c r="H5" i="1"/>
  <c r="H3" i="1"/>
  <c r="H1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H1" authorId="0" shapeId="0" xr:uid="{00000000-0006-0000-0000-000001000000}">
      <text>
        <r>
          <rPr>
            <sz val="10"/>
            <color rgb="FF000000"/>
            <rFont val="Arial"/>
            <scheme val="minor"/>
          </rPr>
          <t>Promedio PONDERADO: D*0.35 + E*0.30 (Team act) + F*0.20 (1v1 max) + G*0.15 (Team max). Pesos editables en la hoja "Notas" (B3:B6). Ver hoja Notas para detalles y pendientes.</t>
        </r>
      </text>
    </comment>
    <comment ref="D3" authorId="0" shapeId="0" xr:uid="{00000000-0006-0000-0000-000002000000}">
      <text>
        <r>
          <rPr>
            <sz val="10"/>
            <color rgb="FF000000"/>
            <rFont val="Arial"/>
            <scheme val="minor"/>
          </rPr>
          <t>Emparejado con "ACI jyarar" (confirmado). Existe otra cuenta "jyarar" sin tag con 1v1 1216 - NO es esta.</t>
        </r>
      </text>
    </comment>
    <comment ref="D6" authorId="0" shapeId="0" xr:uid="{00000000-0006-0000-0000-000004000000}">
      <text>
        <r>
          <rPr>
            <sz val="10"/>
            <color rgb="FF000000"/>
            <rFont val="Arial"/>
            <family val="2"/>
          </rPr>
          <t>ACI Artanisx NO tiene rating 1v1 en aoe2insights (nunca jugo ranked 1v1). El promedio se calcula solo con Team. Revisar si el torneo es 1v1.</t>
        </r>
      </text>
    </comment>
  </commentList>
</comments>
</file>

<file path=xl/sharedStrings.xml><?xml version="1.0" encoding="utf-8"?>
<sst xmlns="http://schemas.openxmlformats.org/spreadsheetml/2006/main" count="205" uniqueCount="137">
  <si>
    <t>Marca temporal</t>
  </si>
  <si>
    <t>Dirección de correo electrónico</t>
  </si>
  <si>
    <t>Nickname</t>
  </si>
  <si>
    <t>Elo actual 1v1</t>
  </si>
  <si>
    <t>Elo Actual RM team</t>
  </si>
  <si>
    <t>Elo max historico 1v1</t>
  </si>
  <si>
    <t>Elo Max historico RM Team</t>
  </si>
  <si>
    <t>Promedio</t>
  </si>
  <si>
    <t>Objetivo</t>
  </si>
  <si>
    <t>Selecciona los horarios en los que tienes disponibilidad para jugar: [Viernes]</t>
  </si>
  <si>
    <t>Selecciona los horarios en los que tienes disponibilidad para jugar: [Sábado]</t>
  </si>
  <si>
    <t>Selecciona los horarios en los que tienes disponibilidad para jugar: [Domingo]</t>
  </si>
  <si>
    <t>Selecciona los horarios en los que tienes disponibilidad para jugar: [Entre semana]</t>
  </si>
  <si>
    <t>mauro.gongorar7@gmail.com</t>
  </si>
  <si>
    <t>Fok Israhell</t>
  </si>
  <si>
    <t>Partirle la madre al umma</t>
  </si>
  <si>
    <t>Noche (7pm-10pm)</t>
  </si>
  <si>
    <t>Tarde (2pm-6pm), Noche (7pm-10pm)</t>
  </si>
  <si>
    <t>jair.yara11@gmail.com</t>
  </si>
  <si>
    <t>Jyarar</t>
  </si>
  <si>
    <t>Sacar a shan</t>
  </si>
  <si>
    <t>angeleduardoromerovazquez@gmail.com</t>
  </si>
  <si>
    <t>ACI Granmini</t>
  </si>
  <si>
    <t>Sólo uno... ganar...</t>
  </si>
  <si>
    <t>Mañana (9am-12pm), Noche (7pm-10pm)</t>
  </si>
  <si>
    <t>nicogg3.unal@gmail.com</t>
  </si>
  <si>
    <t>Dross (Malandrin)</t>
  </si>
  <si>
    <t>Darle por la cola al calvo</t>
  </si>
  <si>
    <t>shanyurui@gmail.com</t>
  </si>
  <si>
    <t>SHAN</t>
  </si>
  <si>
    <t>Robarle cerdos al calvo</t>
  </si>
  <si>
    <t>tyuered@gmail.com</t>
  </si>
  <si>
    <t>Tyuered</t>
  </si>
  <si>
    <t>Entrar al torneo</t>
  </si>
  <si>
    <t>Mañana (9am-12pm)</t>
  </si>
  <si>
    <t>marito9911@gmail.com</t>
  </si>
  <si>
    <t xml:space="preserve">GreenMario </t>
  </si>
  <si>
    <t xml:space="preserve">Aprender </t>
  </si>
  <si>
    <t>josemanuelmojica97@gmail.com</t>
  </si>
  <si>
    <t>ACI Kira_game</t>
  </si>
  <si>
    <t>Cogerme al calvo</t>
  </si>
  <si>
    <t>Mañana (9am-12pm), Tarde (2pm-6pm), Noche (7pm-10pm)</t>
  </si>
  <si>
    <t>Mañana (9am-12pm), Tarde (2pm-6pm)</t>
  </si>
  <si>
    <t>lfortizc@unal.edu.co</t>
  </si>
  <si>
    <t>Ummagumma</t>
  </si>
  <si>
    <t xml:space="preserve">Que la viejita se lo pase bien </t>
  </si>
  <si>
    <t>johansal1707@gmail.com</t>
  </si>
  <si>
    <t>Calvohp17</t>
  </si>
  <si>
    <t>No caducar en la primera ronda</t>
  </si>
  <si>
    <t>Tarde (2pm-6pm)</t>
  </si>
  <si>
    <t>artanisx.silver117@gmail.com</t>
  </si>
  <si>
    <t xml:space="preserve">ACI ARTANISX </t>
  </si>
  <si>
    <t xml:space="preserve">Conseguir un autógrafo de Dross </t>
  </si>
  <si>
    <t>jmangelc93@gmail.com</t>
  </si>
  <si>
    <t>ACI Tuffix</t>
  </si>
  <si>
    <t>Perder</t>
  </si>
  <si>
    <t>jeffersmendez.jm@gmail.com</t>
  </si>
  <si>
    <t xml:space="preserve">El Rey Nocturno </t>
  </si>
  <si>
    <t>Recordar como se juega al age</t>
  </si>
  <si>
    <t>PESOS DEL PROMEDIO PONDERADO (editables — cambia el valor y se recalcula todo)</t>
  </si>
  <si>
    <t>Categoría</t>
  </si>
  <si>
    <t>Peso</t>
  </si>
  <si>
    <t>Columna</t>
  </si>
  <si>
    <t>Peso 1v1 actual</t>
  </si>
  <si>
    <t>Col D</t>
  </si>
  <si>
    <t>Peso Team actual</t>
  </si>
  <si>
    <t>Col E</t>
  </si>
  <si>
    <t>Peso 1v1 max</t>
  </si>
  <si>
    <t>Col F</t>
  </si>
  <si>
    <t>Peso Team max</t>
  </si>
  <si>
    <t>Col G</t>
  </si>
  <si>
    <t>Suma pesos</t>
  </si>
  <si>
    <t>(debe sumar 1.00)</t>
  </si>
  <si>
    <t>REGISTRO DE DATOS — Torneo ACI</t>
  </si>
  <si>
    <t>Fuente</t>
  </si>
  <si>
    <t>aoe2insights.com (scrapeado con Playwright, navegador real; el sitio bloquea fetch directo con 403)</t>
  </si>
  <si>
    <t>Fecha de extracción</t>
  </si>
  <si>
    <t>2026-07-02</t>
  </si>
  <si>
    <t>Rating usado</t>
  </si>
  <si>
    <t>RM = Random Map. D/F = 1v1, E/G = Team. "max" = All Time High (peak) del perfil.</t>
  </si>
  <si>
    <t>Promedio (H)</t>
  </si>
  <si>
    <t>Ponderado: D*0.35 + E*0.30 + F*0.20 + G*0.15 (pesos en B3:B6, editables).</t>
  </si>
  <si>
    <t>ARTANISX (H)</t>
  </si>
  <si>
    <t>Sin datos de 1v1 -&gt; se promedia SOLO equipo (E,G) renormalizado. No 100% comparable.</t>
  </si>
  <si>
    <t>CUENTAS EMPAREJADAS (nick del formulario -&gt; cuenta en aoe2insights)</t>
  </si>
  <si>
    <t>Fila</t>
  </si>
  <si>
    <t>Nick (formulario)</t>
  </si>
  <si>
    <t>Cuenta aoe2insights</t>
  </si>
  <si>
    <t>País</t>
  </si>
  <si>
    <t>URL perfil</t>
  </si>
  <si>
    <t>Confianza</t>
  </si>
  <si>
    <t>ACI F0K 1sr4h3ll</t>
  </si>
  <si>
    <t>Colombia</t>
  </si>
  <si>
    <t>https://www.aoe2insights.com/user/11738813/</t>
  </si>
  <si>
    <t>Confirmado por ti (aka mauro.gongorar7 = email)</t>
  </si>
  <si>
    <t>ACI jyarar</t>
  </si>
  <si>
    <t>https://www.aoe2insights.com/user/12347241/</t>
  </si>
  <si>
    <t>Confirmado por ti (vs cuenta "jyarar" sin tag)</t>
  </si>
  <si>
    <t>Mexico</t>
  </si>
  <si>
    <t>https://www.aoe2insights.com/user/8556596/</t>
  </si>
  <si>
    <t>Alta (tag ACI + nombre exacto)</t>
  </si>
  <si>
    <t>ACI Dross</t>
  </si>
  <si>
    <t>https://www.aoe2insights.com/user/3539720/</t>
  </si>
  <si>
    <t>Alta (tag ACI; unico ACI Dross)</t>
  </si>
  <si>
    <t>ACI ShaN</t>
  </si>
  <si>
    <t>https://www.aoe2insights.com/user/10718844/</t>
  </si>
  <si>
    <t>Alta (tag ACI)</t>
  </si>
  <si>
    <t>ACI Tyuered</t>
  </si>
  <si>
    <t>https://www.aoe2insights.com/user/283078/</t>
  </si>
  <si>
    <t>Alta (tag ACI + nombre)</t>
  </si>
  <si>
    <t>TYUERED</t>
  </si>
  <si>
    <t>DUPLICADO de fila 7 (mismo email tyuered@gmail.com)</t>
  </si>
  <si>
    <t>GreenMario</t>
  </si>
  <si>
    <t>GreenMario7761</t>
  </si>
  <si>
    <t>United States</t>
  </si>
  <si>
    <t>https://www.aoe2insights.com/user/736955/</t>
  </si>
  <si>
    <t>Confirmado por ti (el de USA)</t>
  </si>
  <si>
    <t>https://www.aoe2insights.com/user/12844994/</t>
  </si>
  <si>
    <t>Alta (nombre exacto)</t>
  </si>
  <si>
    <t>https://www.aoe2insights.com/user/3169581/</t>
  </si>
  <si>
    <t>Alta (nombre exacto + Colombia)</t>
  </si>
  <si>
    <t>ACI Calvohp</t>
  </si>
  <si>
    <t>https://www.aoe2insights.com/user/2186527/</t>
  </si>
  <si>
    <t>Alta (tag ACI + Calvohp)</t>
  </si>
  <si>
    <t>ACI ARTANISX</t>
  </si>
  <si>
    <t>ACI Artanisx</t>
  </si>
  <si>
    <t>https://www.aoe2insights.com/user/12727653/</t>
  </si>
  <si>
    <t>Media — SIN rating 1v1, solo Team</t>
  </si>
  <si>
    <t>https://www.aoe2insights.com/user/13147882/</t>
  </si>
  <si>
    <t>El Rey Nocturno</t>
  </si>
  <si>
    <t>https://www.aoe2insights.com/user/9854163/</t>
  </si>
  <si>
    <t>PENDIENTES / PARA REVISAR EN EL FUTURO</t>
  </si>
  <si>
    <t>1. Filas 7 y 8 son el MISMO jugador (Tyuered, envio duplicado). Borrar una fila antes de sembrar.</t>
  </si>
  <si>
    <t>2. ACI ARTANISX no tiene 1v1: si el torneo es 1v1, pedirle partidas de colocacion o ajustar su siembra a mano.</t>
  </si>
  <si>
    <t>3. Ratings 1v1 "provisionales" (actual = max, nunca perdieron punto -&gt; pocas partidas): Jyarar, Granmini, ShaN, Kira. Su Team (miles de juegos) es mas fiable. Si quieres, sube el peso de Team (B4/B6).</t>
  </si>
  <si>
    <t>4. Ratings cambian con el tiempo: re-ejecutar el scraping antes del torneo para refrescar D:G.</t>
  </si>
  <si>
    <t>5. Para cambiar el criterio de siembra: edita los pesos en B3:B6 (deben sumar 1.00, ver B7).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</si>
</sst>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\ h:mm:ss"/>
  </numFmts>
  <fonts count="8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0"/>
      <name val="Arial"/>
      <family val="2"/>
      <scheme val="minor"/>
    </font>
    <font>
      <b/>
      <sz val="10"/>
      <color theme="1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3" borderId="0" xfId="0" applyFont="1" applyFill="1" applyAlignment="1">
      <alignment vertical="center"/>
    </xf>
    <xf numFmtId="0" fontId="2" fillId="0" borderId="0" xfId="0" applyFont="1"/>
    <xf numFmtId="0" fontId="3" fillId="2" borderId="0" xfId="0" applyFont="1" applyFill="1"/>
    <xf numFmtId="2" fontId="0" fillId="0" borderId="0" xfId="0" applyNumberFormat="1"/>
    <xf numFmtId="0" fontId="4" fillId="0" borderId="0" xfId="0" applyFont="1"/>
    <xf numFmtId="0" fontId="6" fillId="0" borderId="0" xfId="0" applyFont="1" applyAlignment="1">
      <alignment horizontal="left" vertical="center"/>
    </xf>
    <xf numFmtId="0" fontId="6" fillId="0" borderId="0" xfId="0" applyFont="1"/>
    <xf numFmtId="0" fontId="7" fillId="0" borderId="0" xfId="0" applyFont="1" applyAlignment="1">
      <alignment vertical="center"/>
    </xf>
  </cellXfs>
  <cellStyles count="1">
    <cellStyle name="Normal" xfId="0" builtinId="0"/>
  </cellStyles>
  <dxfs count="9">
    <dxf>
      <font>
        <strike val="0"/>
        <outline val="0"/>
        <shadow val="0"/>
        <u val="none"/>
        <vertAlign val="baseline"/>
        <sz val="10"/>
        <color theme="0"/>
        <name val="Arial"/>
        <scheme val="minor"/>
      </font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alignment horizontal="general" vertical="center"/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alignment horizontal="general" vertical="center"/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alignment horizontal="general" vertical="center"/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alignment horizontal="general" vertical="center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 defaultTableStyle="TableStyleMedium9" defaultPivotStyle="PivotStyleLight16">
    <tableStyle name="Respuestas de formulario 1-style" pivot="0" count="4" xr9:uid="{00000000-0011-0000-FFFF-FFFF00000000}">
      <tableStyleElement type="wholeTable" size="0" dxfId="8"/>
      <tableStyleElement type="headerRow" dxfId="7"/>
      <tableStyleElement type="firstRowStripe" dxfId="6"/>
      <tableStyleElement type="secondRowStripe" dxfId="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M14" headerRowDxfId="0">
  <autoFilter ref="A1:M14" xr:uid="{00000000-000C-0000-FFFF-FFFF00000000}"/>
  <sortState xmlns:xlrd2="http://schemas.microsoft.com/office/spreadsheetml/2017/richdata2" ref="A2:M14">
    <sortCondition descending="1" ref="H1:H14"/>
  </sortState>
  <tableColumns count="13">
    <tableColumn id="1" xr3:uid="{00000000-0010-0000-0000-000001000000}" name="Marca temporal"/>
    <tableColumn id="2" xr3:uid="{00000000-0010-0000-0000-000002000000}" name="Dirección de correo electrónico"/>
    <tableColumn id="3" xr3:uid="{00000000-0010-0000-0000-000003000000}" name="Nickname"/>
    <tableColumn id="4" xr3:uid="{00000000-0010-0000-0000-000004000000}" name="Elo actual 1v1"/>
    <tableColumn id="12" xr3:uid="{00000000-0010-0000-0000-00000C000000}" name="Elo Actual RM team" dataDxfId="4"/>
    <tableColumn id="10" xr3:uid="{00000000-0010-0000-0000-00000A000000}" name="Elo max historico 1v1" dataDxfId="3"/>
    <tableColumn id="11" xr3:uid="{00000000-0010-0000-0000-00000B000000}" name="Elo Max historico RM Team" dataDxfId="2"/>
    <tableColumn id="13" xr3:uid="{00000000-0010-0000-0000-00000D000000}" name="Promedio" dataDxfId="1"/>
    <tableColumn id="5" xr3:uid="{00000000-0010-0000-0000-000005000000}" name="Objetivo"/>
    <tableColumn id="6" xr3:uid="{00000000-0010-0000-0000-000006000000}" name="Selecciona los horarios en los que tienes disponibilidad para jugar: [Viernes]"/>
    <tableColumn id="7" xr3:uid="{00000000-0010-0000-0000-000007000000}" name="Selecciona los horarios en los que tienes disponibilidad para jugar: [Sábado]"/>
    <tableColumn id="8" xr3:uid="{00000000-0010-0000-0000-000008000000}" name="Selecciona los horarios en los que tienes disponibilidad para jugar: [Domingo]"/>
    <tableColumn id="9" xr3:uid="{00000000-0010-0000-0000-000009000000}" name="Selecciona los horarios en los que tienes disponibilidad para jugar: [Entre semana]"/>
  </tableColumns>
  <tableStyleInfo name="Respuestas de formulario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M14"/>
  <sheetViews>
    <sheetView tabSelected="1" zoomScale="130" zoomScaleNormal="130" workbookViewId="0">
      <pane ySplit="1" topLeftCell="A2" activePane="bottomLeft" state="frozen"/>
      <selection pane="bottomLeft" activeCell="C12" sqref="C12"/>
    </sheetView>
  </sheetViews>
  <sheetFormatPr baseColWidth="10" defaultColWidth="12.6640625" defaultRowHeight="15.75" customHeight="1" outlineLevelCol="1" x14ac:dyDescent="0.15"/>
  <cols>
    <col min="1" max="1" width="18.83203125" customWidth="1"/>
    <col min="2" max="2" width="27.83203125" customWidth="1"/>
    <col min="3" max="3" width="18.83203125" customWidth="1" collapsed="1"/>
    <col min="4" max="4" width="18.5" hidden="1" customWidth="1" outlineLevel="1"/>
    <col min="5" max="5" width="22.5" hidden="1" customWidth="1" outlineLevel="1"/>
    <col min="6" max="6" width="27.5" hidden="1" customWidth="1" outlineLevel="1"/>
    <col min="7" max="7" width="24.6640625" hidden="1" customWidth="1" outlineLevel="1"/>
    <col min="8" max="8" width="22.83203125" customWidth="1"/>
    <col min="9" max="9" width="38.6640625" customWidth="1"/>
    <col min="10" max="13" width="37.6640625" customWidth="1"/>
    <col min="14" max="19" width="18.83203125" customWidth="1"/>
  </cols>
  <sheetData>
    <row r="1" spans="1:13" s="9" customFormat="1" ht="22.5" customHeight="1" x14ac:dyDescent="0.1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</row>
    <row r="2" spans="1:13" ht="22.5" customHeight="1" x14ac:dyDescent="0.15">
      <c r="A2" s="1">
        <v>46205.479267083327</v>
      </c>
      <c r="B2" s="2" t="s">
        <v>56</v>
      </c>
      <c r="C2" s="2" t="s">
        <v>57</v>
      </c>
      <c r="D2" s="2">
        <v>1609</v>
      </c>
      <c r="E2" s="2">
        <v>1457</v>
      </c>
      <c r="F2" s="2">
        <v>1616</v>
      </c>
      <c r="G2" s="2">
        <v>1590</v>
      </c>
      <c r="H2" s="2">
        <f>ROUND(D2*Notas!$B$3+E2*Notas!$B$4+F2*Notas!$B$5+G2*Notas!$B$6,0)</f>
        <v>1562</v>
      </c>
      <c r="I2" s="2" t="s">
        <v>58</v>
      </c>
      <c r="J2" s="2"/>
      <c r="K2" s="2" t="s">
        <v>16</v>
      </c>
      <c r="L2" s="2" t="s">
        <v>16</v>
      </c>
      <c r="M2" s="2"/>
    </row>
    <row r="3" spans="1:13" ht="22.5" customHeight="1" x14ac:dyDescent="0.15">
      <c r="A3" s="1">
        <v>46194.94453789352</v>
      </c>
      <c r="B3" s="2" t="s">
        <v>18</v>
      </c>
      <c r="C3" s="2" t="s">
        <v>19</v>
      </c>
      <c r="D3" s="2">
        <v>1399</v>
      </c>
      <c r="E3" s="2">
        <v>1394</v>
      </c>
      <c r="F3" s="2">
        <v>1399</v>
      </c>
      <c r="G3" s="2">
        <v>1473</v>
      </c>
      <c r="H3" s="2">
        <f>ROUND(D3*Notas!$B$3+E3*Notas!$B$4+F3*Notas!$B$5+G3*Notas!$B$6,0)</f>
        <v>1409</v>
      </c>
      <c r="I3" s="2" t="s">
        <v>20</v>
      </c>
      <c r="J3" s="2" t="s">
        <v>16</v>
      </c>
      <c r="K3" s="2" t="s">
        <v>17</v>
      </c>
      <c r="L3" s="2" t="s">
        <v>17</v>
      </c>
      <c r="M3" s="2" t="s">
        <v>16</v>
      </c>
    </row>
    <row r="4" spans="1:13" ht="22.5" customHeight="1" x14ac:dyDescent="0.15">
      <c r="A4" s="1">
        <v>46205.444688622687</v>
      </c>
      <c r="B4" s="2" t="s">
        <v>46</v>
      </c>
      <c r="C4" s="2" t="s">
        <v>47</v>
      </c>
      <c r="D4" s="2">
        <v>1305</v>
      </c>
      <c r="E4" s="2">
        <v>1411</v>
      </c>
      <c r="F4" s="2">
        <v>1511</v>
      </c>
      <c r="G4" s="2">
        <v>1479</v>
      </c>
      <c r="H4" s="2">
        <f>ROUND(D4*Notas!$B$3+E4*Notas!$B$4+F4*Notas!$B$5+G4*Notas!$B$6,0)</f>
        <v>1404</v>
      </c>
      <c r="I4" s="2" t="s">
        <v>48</v>
      </c>
      <c r="J4" s="2" t="s">
        <v>16</v>
      </c>
      <c r="K4" s="2" t="s">
        <v>17</v>
      </c>
      <c r="L4" s="2" t="s">
        <v>49</v>
      </c>
      <c r="M4" s="2" t="s">
        <v>16</v>
      </c>
    </row>
    <row r="5" spans="1:13" ht="22.5" customHeight="1" x14ac:dyDescent="0.15">
      <c r="A5" s="1">
        <v>46194.970880787027</v>
      </c>
      <c r="B5" s="2" t="s">
        <v>21</v>
      </c>
      <c r="C5" s="2" t="s">
        <v>22</v>
      </c>
      <c r="D5" s="2">
        <v>1422</v>
      </c>
      <c r="E5" s="2">
        <v>1313</v>
      </c>
      <c r="F5" s="2">
        <v>1422</v>
      </c>
      <c r="G5" s="2">
        <v>1435</v>
      </c>
      <c r="H5" s="2">
        <f>ROUND(D5*Notas!$B$3+E5*Notas!$B$4+F5*Notas!$B$5+G5*Notas!$B$6,0)</f>
        <v>1391</v>
      </c>
      <c r="I5" s="2" t="s">
        <v>23</v>
      </c>
      <c r="J5" s="2" t="s">
        <v>24</v>
      </c>
      <c r="K5" s="2" t="s">
        <v>17</v>
      </c>
      <c r="L5" s="2" t="s">
        <v>16</v>
      </c>
      <c r="M5" s="2" t="s">
        <v>24</v>
      </c>
    </row>
    <row r="6" spans="1:13" ht="22.5" customHeight="1" x14ac:dyDescent="0.15">
      <c r="A6" s="1">
        <v>46205.462754976848</v>
      </c>
      <c r="B6" s="2" t="s">
        <v>50</v>
      </c>
      <c r="C6" s="2" t="s">
        <v>51</v>
      </c>
      <c r="D6" s="3"/>
      <c r="E6" s="2">
        <v>1302</v>
      </c>
      <c r="F6" s="3"/>
      <c r="G6" s="2">
        <v>1354</v>
      </c>
      <c r="H6" s="2">
        <f>ROUND((E6*Notas!$B$4+G6*Notas!$B$6)/(Notas!$B$4+Notas!$B$6),0)</f>
        <v>1319</v>
      </c>
      <c r="I6" s="2" t="s">
        <v>52</v>
      </c>
      <c r="J6" s="2" t="s">
        <v>16</v>
      </c>
      <c r="K6" s="2" t="s">
        <v>16</v>
      </c>
      <c r="L6" s="2" t="s">
        <v>16</v>
      </c>
      <c r="M6" s="2"/>
    </row>
    <row r="7" spans="1:13" ht="22.5" customHeight="1" x14ac:dyDescent="0.15">
      <c r="A7" s="1">
        <v>46195.260689594907</v>
      </c>
      <c r="B7" s="2" t="s">
        <v>25</v>
      </c>
      <c r="C7" s="2" t="s">
        <v>26</v>
      </c>
      <c r="D7" s="2">
        <v>1253</v>
      </c>
      <c r="E7" s="2">
        <v>1323</v>
      </c>
      <c r="F7" s="2">
        <v>1289</v>
      </c>
      <c r="G7" s="2">
        <v>1327</v>
      </c>
      <c r="H7" s="2">
        <f>ROUND(D7*Notas!$B$3+E7*Notas!$B$4+F7*Notas!$B$5+G7*Notas!$B$6,0)</f>
        <v>1292</v>
      </c>
      <c r="I7" s="2" t="s">
        <v>27</v>
      </c>
      <c r="J7" s="2" t="s">
        <v>16</v>
      </c>
      <c r="K7" s="2"/>
      <c r="L7" s="2"/>
      <c r="M7" s="2" t="s">
        <v>16</v>
      </c>
    </row>
    <row r="8" spans="1:13" ht="22.5" customHeight="1" x14ac:dyDescent="0.15">
      <c r="A8" s="1">
        <v>46195.30587300926</v>
      </c>
      <c r="B8" s="2" t="s">
        <v>28</v>
      </c>
      <c r="C8" s="10" t="s">
        <v>29</v>
      </c>
      <c r="D8" s="2">
        <v>1208</v>
      </c>
      <c r="E8" s="2">
        <v>1331</v>
      </c>
      <c r="F8" s="2">
        <v>1208</v>
      </c>
      <c r="G8" s="2">
        <v>1482</v>
      </c>
      <c r="H8" s="2">
        <f>ROUND(D8*Notas!$B$3+E8*Notas!$B$4+F8*Notas!$B$5+G8*Notas!$B$6,0)</f>
        <v>1286</v>
      </c>
      <c r="I8" s="2" t="s">
        <v>30</v>
      </c>
      <c r="J8" s="2" t="s">
        <v>16</v>
      </c>
      <c r="K8" s="2" t="s">
        <v>16</v>
      </c>
      <c r="L8" s="2" t="s">
        <v>16</v>
      </c>
      <c r="M8" s="2" t="s">
        <v>16</v>
      </c>
    </row>
    <row r="9" spans="1:13" ht="22.5" customHeight="1" x14ac:dyDescent="0.15">
      <c r="A9" s="1">
        <v>46197.559962395833</v>
      </c>
      <c r="B9" s="2" t="s">
        <v>35</v>
      </c>
      <c r="C9" s="2" t="s">
        <v>36</v>
      </c>
      <c r="D9" s="2">
        <v>1132</v>
      </c>
      <c r="E9" s="2">
        <v>1242</v>
      </c>
      <c r="F9" s="2">
        <v>1385</v>
      </c>
      <c r="G9" s="2">
        <v>1242</v>
      </c>
      <c r="H9" s="2">
        <f>ROUND(D9*Notas!$B$3+E9*Notas!$B$4+F9*Notas!$B$5+G9*Notas!$B$6,0)</f>
        <v>1232</v>
      </c>
      <c r="I9" s="2" t="s">
        <v>37</v>
      </c>
      <c r="J9" s="2" t="s">
        <v>16</v>
      </c>
      <c r="K9" s="2" t="s">
        <v>16</v>
      </c>
      <c r="L9" s="2" t="s">
        <v>16</v>
      </c>
      <c r="M9" s="2" t="s">
        <v>16</v>
      </c>
    </row>
    <row r="10" spans="1:13" ht="22.5" customHeight="1" x14ac:dyDescent="0.15">
      <c r="A10" s="1">
        <v>46195.742588993053</v>
      </c>
      <c r="B10" s="2" t="s">
        <v>31</v>
      </c>
      <c r="C10" s="2" t="s">
        <v>32</v>
      </c>
      <c r="D10" s="2">
        <v>1181</v>
      </c>
      <c r="E10" s="2">
        <v>1190</v>
      </c>
      <c r="F10" s="2">
        <v>1181</v>
      </c>
      <c r="G10" s="2">
        <v>1427</v>
      </c>
      <c r="H10" s="2">
        <f>ROUND(D10*Notas!$B$3+E10*Notas!$B$4+F10*Notas!$B$5+G10*Notas!$B$6,0)</f>
        <v>1221</v>
      </c>
      <c r="I10" s="2" t="s">
        <v>33</v>
      </c>
      <c r="J10" s="2" t="s">
        <v>24</v>
      </c>
      <c r="K10" s="2" t="s">
        <v>16</v>
      </c>
      <c r="L10" s="2" t="s">
        <v>16</v>
      </c>
      <c r="M10" s="2" t="s">
        <v>34</v>
      </c>
    </row>
    <row r="11" spans="1:13" ht="22.5" customHeight="1" x14ac:dyDescent="0.15">
      <c r="A11" s="1">
        <v>46205.333568576389</v>
      </c>
      <c r="B11" s="2" t="s">
        <v>38</v>
      </c>
      <c r="C11" s="2" t="s">
        <v>39</v>
      </c>
      <c r="D11" s="2">
        <v>1102</v>
      </c>
      <c r="E11" s="2">
        <v>1237</v>
      </c>
      <c r="F11" s="2">
        <v>1102</v>
      </c>
      <c r="G11" s="2">
        <v>1442</v>
      </c>
      <c r="H11" s="2">
        <f>ROUND(D11*Notas!$B$3+E11*Notas!$B$4+F11*Notas!$B$5+G11*Notas!$B$6,0)</f>
        <v>1194</v>
      </c>
      <c r="I11" s="2" t="s">
        <v>40</v>
      </c>
      <c r="J11" s="2" t="s">
        <v>16</v>
      </c>
      <c r="K11" s="2" t="s">
        <v>41</v>
      </c>
      <c r="L11" s="2" t="s">
        <v>42</v>
      </c>
      <c r="M11" s="2"/>
    </row>
    <row r="12" spans="1:13" ht="22.5" customHeight="1" x14ac:dyDescent="0.15">
      <c r="A12" s="1">
        <v>46205.468888171286</v>
      </c>
      <c r="B12" s="2" t="s">
        <v>53</v>
      </c>
      <c r="C12" s="2" t="s">
        <v>54</v>
      </c>
      <c r="D12" s="2">
        <v>1040</v>
      </c>
      <c r="E12" s="2">
        <v>1224</v>
      </c>
      <c r="F12" s="2">
        <v>1083</v>
      </c>
      <c r="G12" s="2">
        <v>1253</v>
      </c>
      <c r="H12" s="2">
        <f>ROUND(D12*Notas!$B$3+E12*Notas!$B$4+F12*Notas!$B$5+G12*Notas!$B$6,0)</f>
        <v>1136</v>
      </c>
      <c r="I12" s="2" t="s">
        <v>55</v>
      </c>
      <c r="J12" s="2" t="s">
        <v>16</v>
      </c>
      <c r="K12" s="2" t="s">
        <v>16</v>
      </c>
      <c r="L12" s="2" t="s">
        <v>16</v>
      </c>
      <c r="M12" s="2" t="s">
        <v>16</v>
      </c>
    </row>
    <row r="13" spans="1:13" ht="22.5" customHeight="1" x14ac:dyDescent="0.15">
      <c r="A13" s="1">
        <v>46205.44042111111</v>
      </c>
      <c r="B13" s="2" t="s">
        <v>43</v>
      </c>
      <c r="C13" s="2" t="s">
        <v>44</v>
      </c>
      <c r="D13" s="2">
        <v>975</v>
      </c>
      <c r="E13" s="2">
        <v>1203</v>
      </c>
      <c r="F13" s="2">
        <v>1125</v>
      </c>
      <c r="G13" s="2">
        <v>1324</v>
      </c>
      <c r="H13" s="2">
        <f>ROUND(D13*Notas!$B$3+E13*Notas!$B$4+F13*Notas!$B$5+G13*Notas!$B$6,0)</f>
        <v>1126</v>
      </c>
      <c r="I13" s="2" t="s">
        <v>45</v>
      </c>
      <c r="J13" s="2" t="s">
        <v>16</v>
      </c>
      <c r="K13" s="2" t="s">
        <v>16</v>
      </c>
      <c r="L13" s="2" t="s">
        <v>16</v>
      </c>
      <c r="M13" s="2" t="s">
        <v>16</v>
      </c>
    </row>
    <row r="14" spans="1:13" ht="22.5" customHeight="1" x14ac:dyDescent="0.15">
      <c r="A14" s="1">
        <v>46194.841593506942</v>
      </c>
      <c r="B14" s="2" t="s">
        <v>13</v>
      </c>
      <c r="C14" s="2" t="s">
        <v>14</v>
      </c>
      <c r="D14" s="2">
        <v>980</v>
      </c>
      <c r="E14" s="2">
        <v>1176</v>
      </c>
      <c r="F14" s="2">
        <v>1008</v>
      </c>
      <c r="G14" s="2">
        <v>1255</v>
      </c>
      <c r="H14" s="2">
        <f>ROUND(D14*Notas!$B$3+E14*Notas!$B$4+F14*Notas!$B$5+G14*Notas!$B$6,0)</f>
        <v>1086</v>
      </c>
      <c r="I14" s="2" t="s">
        <v>15</v>
      </c>
      <c r="J14" s="2" t="s">
        <v>16</v>
      </c>
      <c r="K14" s="2"/>
      <c r="L14" s="2" t="s">
        <v>17</v>
      </c>
      <c r="M14" s="2" t="s">
        <v>16</v>
      </c>
    </row>
  </sheetData>
  <pageMargins left="0.75" right="0.75" top="1" bottom="1" header="0.5" footer="0.5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0"/>
  <sheetViews>
    <sheetView workbookViewId="0">
      <selection activeCell="E32" sqref="E32"/>
    </sheetView>
  </sheetViews>
  <sheetFormatPr baseColWidth="10" defaultColWidth="8.83203125" defaultRowHeight="13" x14ac:dyDescent="0.15"/>
  <cols>
    <col min="1" max="1" width="40" customWidth="1"/>
    <col min="2" max="3" width="22" customWidth="1"/>
    <col min="4" max="4" width="16" customWidth="1"/>
    <col min="5" max="5" width="46" customWidth="1"/>
    <col min="6" max="6" width="52" customWidth="1"/>
  </cols>
  <sheetData>
    <row r="1" spans="1:3" x14ac:dyDescent="0.15">
      <c r="A1" s="4" t="s">
        <v>59</v>
      </c>
    </row>
    <row r="2" spans="1:3" x14ac:dyDescent="0.15">
      <c r="A2" s="5" t="s">
        <v>60</v>
      </c>
      <c r="B2" s="5" t="s">
        <v>61</v>
      </c>
      <c r="C2" s="5" t="s">
        <v>62</v>
      </c>
    </row>
    <row r="3" spans="1:3" x14ac:dyDescent="0.15">
      <c r="A3" t="s">
        <v>63</v>
      </c>
      <c r="B3" s="6">
        <v>0.35</v>
      </c>
      <c r="C3" t="s">
        <v>64</v>
      </c>
    </row>
    <row r="4" spans="1:3" x14ac:dyDescent="0.15">
      <c r="A4" t="s">
        <v>65</v>
      </c>
      <c r="B4" s="6">
        <v>0.3</v>
      </c>
      <c r="C4" t="s">
        <v>66</v>
      </c>
    </row>
    <row r="5" spans="1:3" x14ac:dyDescent="0.15">
      <c r="A5" t="s">
        <v>67</v>
      </c>
      <c r="B5" s="6">
        <v>0.2</v>
      </c>
      <c r="C5" t="s">
        <v>68</v>
      </c>
    </row>
    <row r="6" spans="1:3" x14ac:dyDescent="0.15">
      <c r="A6" t="s">
        <v>69</v>
      </c>
      <c r="B6" s="6">
        <v>0.15</v>
      </c>
      <c r="C6" t="s">
        <v>70</v>
      </c>
    </row>
    <row r="7" spans="1:3" x14ac:dyDescent="0.15">
      <c r="A7" s="4" t="s">
        <v>71</v>
      </c>
      <c r="B7" s="6">
        <f>SUM(B3:B6)</f>
        <v>0.99999999999999989</v>
      </c>
      <c r="C7" t="s">
        <v>72</v>
      </c>
    </row>
    <row r="10" spans="1:3" x14ac:dyDescent="0.15">
      <c r="A10" s="4" t="s">
        <v>73</v>
      </c>
    </row>
    <row r="11" spans="1:3" x14ac:dyDescent="0.15">
      <c r="A11" s="7" t="s">
        <v>74</v>
      </c>
      <c r="B11" t="s">
        <v>75</v>
      </c>
    </row>
    <row r="12" spans="1:3" x14ac:dyDescent="0.15">
      <c r="A12" s="7" t="s">
        <v>76</v>
      </c>
      <c r="B12" t="s">
        <v>77</v>
      </c>
    </row>
    <row r="13" spans="1:3" x14ac:dyDescent="0.15">
      <c r="A13" s="7" t="s">
        <v>78</v>
      </c>
      <c r="B13" t="s">
        <v>79</v>
      </c>
    </row>
    <row r="14" spans="1:3" x14ac:dyDescent="0.15">
      <c r="A14" s="7" t="s">
        <v>80</v>
      </c>
      <c r="B14" t="s">
        <v>81</v>
      </c>
    </row>
    <row r="15" spans="1:3" x14ac:dyDescent="0.15">
      <c r="A15" s="4" t="s">
        <v>82</v>
      </c>
      <c r="B15" t="s">
        <v>83</v>
      </c>
    </row>
    <row r="16" spans="1:3" x14ac:dyDescent="0.15">
      <c r="A16" s="7"/>
    </row>
    <row r="17" spans="1:6" x14ac:dyDescent="0.15">
      <c r="A17" s="4" t="s">
        <v>84</v>
      </c>
    </row>
    <row r="18" spans="1:6" x14ac:dyDescent="0.15">
      <c r="A18" s="5" t="s">
        <v>85</v>
      </c>
      <c r="B18" s="5" t="s">
        <v>86</v>
      </c>
      <c r="C18" s="5" t="s">
        <v>87</v>
      </c>
      <c r="D18" s="5" t="s">
        <v>88</v>
      </c>
      <c r="E18" s="5" t="s">
        <v>89</v>
      </c>
      <c r="F18" s="5" t="s">
        <v>90</v>
      </c>
    </row>
    <row r="19" spans="1:6" x14ac:dyDescent="0.15">
      <c r="A19">
        <v>2</v>
      </c>
      <c r="B19" t="s">
        <v>14</v>
      </c>
      <c r="C19" t="s">
        <v>91</v>
      </c>
      <c r="D19" t="s">
        <v>92</v>
      </c>
      <c r="E19" t="s">
        <v>93</v>
      </c>
      <c r="F19" t="s">
        <v>94</v>
      </c>
    </row>
    <row r="20" spans="1:6" x14ac:dyDescent="0.15">
      <c r="A20">
        <v>3</v>
      </c>
      <c r="B20" t="s">
        <v>19</v>
      </c>
      <c r="C20" t="s">
        <v>95</v>
      </c>
      <c r="D20" t="s">
        <v>92</v>
      </c>
      <c r="E20" t="s">
        <v>96</v>
      </c>
      <c r="F20" t="s">
        <v>97</v>
      </c>
    </row>
    <row r="21" spans="1:6" x14ac:dyDescent="0.15">
      <c r="A21">
        <v>4</v>
      </c>
      <c r="B21" t="s">
        <v>22</v>
      </c>
      <c r="C21" t="s">
        <v>22</v>
      </c>
      <c r="D21" t="s">
        <v>98</v>
      </c>
      <c r="E21" t="s">
        <v>99</v>
      </c>
      <c r="F21" t="s">
        <v>100</v>
      </c>
    </row>
    <row r="22" spans="1:6" x14ac:dyDescent="0.15">
      <c r="A22">
        <v>5</v>
      </c>
      <c r="B22" t="s">
        <v>26</v>
      </c>
      <c r="C22" t="s">
        <v>101</v>
      </c>
      <c r="D22" t="s">
        <v>92</v>
      </c>
      <c r="E22" t="s">
        <v>102</v>
      </c>
      <c r="F22" t="s">
        <v>103</v>
      </c>
    </row>
    <row r="23" spans="1:6" x14ac:dyDescent="0.15">
      <c r="A23">
        <v>6</v>
      </c>
      <c r="B23" t="s">
        <v>29</v>
      </c>
      <c r="C23" t="s">
        <v>104</v>
      </c>
      <c r="D23" t="s">
        <v>92</v>
      </c>
      <c r="E23" t="s">
        <v>105</v>
      </c>
      <c r="F23" t="s">
        <v>106</v>
      </c>
    </row>
    <row r="24" spans="1:6" x14ac:dyDescent="0.15">
      <c r="A24">
        <v>7</v>
      </c>
      <c r="B24" t="s">
        <v>32</v>
      </c>
      <c r="C24" t="s">
        <v>107</v>
      </c>
      <c r="D24" t="s">
        <v>98</v>
      </c>
      <c r="E24" t="s">
        <v>108</v>
      </c>
      <c r="F24" t="s">
        <v>109</v>
      </c>
    </row>
    <row r="25" spans="1:6" x14ac:dyDescent="0.15">
      <c r="A25">
        <v>8</v>
      </c>
      <c r="B25" t="s">
        <v>110</v>
      </c>
      <c r="C25" t="s">
        <v>107</v>
      </c>
      <c r="D25" t="s">
        <v>98</v>
      </c>
      <c r="E25" t="s">
        <v>108</v>
      </c>
      <c r="F25" t="s">
        <v>111</v>
      </c>
    </row>
    <row r="26" spans="1:6" x14ac:dyDescent="0.15">
      <c r="A26">
        <v>9</v>
      </c>
      <c r="B26" t="s">
        <v>112</v>
      </c>
      <c r="C26" t="s">
        <v>113</v>
      </c>
      <c r="D26" t="s">
        <v>114</v>
      </c>
      <c r="E26" t="s">
        <v>115</v>
      </c>
      <c r="F26" t="s">
        <v>116</v>
      </c>
    </row>
    <row r="27" spans="1:6" x14ac:dyDescent="0.15">
      <c r="A27">
        <v>10</v>
      </c>
      <c r="B27" t="s">
        <v>39</v>
      </c>
      <c r="C27" t="s">
        <v>39</v>
      </c>
      <c r="D27" t="s">
        <v>114</v>
      </c>
      <c r="E27" t="s">
        <v>117</v>
      </c>
      <c r="F27" t="s">
        <v>118</v>
      </c>
    </row>
    <row r="28" spans="1:6" x14ac:dyDescent="0.15">
      <c r="A28">
        <v>11</v>
      </c>
      <c r="B28" t="s">
        <v>44</v>
      </c>
      <c r="C28" t="s">
        <v>44</v>
      </c>
      <c r="D28" t="s">
        <v>92</v>
      </c>
      <c r="E28" t="s">
        <v>119</v>
      </c>
      <c r="F28" t="s">
        <v>120</v>
      </c>
    </row>
    <row r="29" spans="1:6" x14ac:dyDescent="0.15">
      <c r="A29">
        <v>12</v>
      </c>
      <c r="B29" t="s">
        <v>47</v>
      </c>
      <c r="C29" t="s">
        <v>121</v>
      </c>
      <c r="D29" t="s">
        <v>92</v>
      </c>
      <c r="E29" t="s">
        <v>122</v>
      </c>
      <c r="F29" t="s">
        <v>123</v>
      </c>
    </row>
    <row r="30" spans="1:6" x14ac:dyDescent="0.15">
      <c r="A30">
        <v>13</v>
      </c>
      <c r="B30" t="s">
        <v>124</v>
      </c>
      <c r="C30" t="s">
        <v>125</v>
      </c>
      <c r="D30" t="s">
        <v>98</v>
      </c>
      <c r="E30" t="s">
        <v>126</v>
      </c>
      <c r="F30" t="s">
        <v>127</v>
      </c>
    </row>
    <row r="31" spans="1:6" x14ac:dyDescent="0.15">
      <c r="A31">
        <v>14</v>
      </c>
      <c r="B31" t="s">
        <v>54</v>
      </c>
      <c r="C31" t="s">
        <v>54</v>
      </c>
      <c r="D31" t="s">
        <v>92</v>
      </c>
      <c r="E31" t="s">
        <v>128</v>
      </c>
      <c r="F31" t="s">
        <v>109</v>
      </c>
    </row>
    <row r="32" spans="1:6" x14ac:dyDescent="0.15">
      <c r="A32">
        <v>15</v>
      </c>
      <c r="B32" t="s">
        <v>129</v>
      </c>
      <c r="C32" t="s">
        <v>129</v>
      </c>
      <c r="D32" t="s">
        <v>92</v>
      </c>
      <c r="E32" t="s">
        <v>130</v>
      </c>
      <c r="F32" t="s">
        <v>120</v>
      </c>
    </row>
    <row r="35" spans="1:1" x14ac:dyDescent="0.15">
      <c r="A35" s="4" t="s">
        <v>131</v>
      </c>
    </row>
    <row r="36" spans="1:1" x14ac:dyDescent="0.15">
      <c r="A36" t="s">
        <v>132</v>
      </c>
    </row>
    <row r="37" spans="1:1" x14ac:dyDescent="0.15">
      <c r="A37" t="s">
        <v>133</v>
      </c>
    </row>
    <row r="38" spans="1:1" x14ac:dyDescent="0.15">
      <c r="A38" t="s">
        <v>134</v>
      </c>
    </row>
    <row r="39" spans="1:1" x14ac:dyDescent="0.15">
      <c r="A39" t="s">
        <v>135</v>
      </c>
    </row>
    <row r="40" spans="1:1" x14ac:dyDescent="0.15">
      <c r="A40" t="s">
        <v>136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Respuestas de formulario 1</vt:lpstr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EDINSON JAIR YARA RUEDA</cp:lastModifiedBy>
  <dcterms:created xsi:type="dcterms:W3CDTF">2026-07-03T02:31:52Z</dcterms:created>
  <dcterms:modified xsi:type="dcterms:W3CDTF">2026-07-03T06:09:08Z</dcterms:modified>
</cp:coreProperties>
</file>